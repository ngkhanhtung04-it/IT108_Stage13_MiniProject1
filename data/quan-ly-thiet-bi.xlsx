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05fe241bb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-muc-linh-kien" sheetId="1" r:id="Refd3540f53814c5e"/>
    <x:sheet xmlns:r="http://schemas.openxmlformats.org/officeDocument/2006/relationships" name="trang-thai-tram" sheetId="2" r:id="R9d17befd6aaa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₫&quot;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2"/>
      <x:color rgb="FF174A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A3A"/>
      </x:patternFill>
    </x:fill>
    <x:fill>
      <x:patternFill patternType="solid">
        <x:fgColor rgb="FFDCEFE5"/>
      </x:patternFill>
    </x:fill>
    <x:fill>
      <x:patternFill patternType="solid">
        <x:fgColor rgb="FFF5F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1e059c0ff4dc0" /><Relationship Type="http://schemas.openxmlformats.org/officeDocument/2006/relationships/theme" Target="/xl/theme/theme1.xml" Id="R881cdc8ee6b54672" /><Relationship Type="http://schemas.openxmlformats.org/officeDocument/2006/relationships/sharedStrings" Target="/xl/sharedStrings.xml" Id="R2e8b43520057435e" /><Relationship Type="http://schemas.openxmlformats.org/officeDocument/2006/relationships/worksheet" Target="/xl/worksheets/sheet1.xml" Id="Refd3540f53814c5e" /><Relationship Type="http://schemas.openxmlformats.org/officeDocument/2006/relationships/worksheet" Target="/xl/worksheets/sheet2.xml" Id="R9d17befd6aaa4be8" /></Relationships>
</file>

<file path=xl/tables/table1.xml><?xml version="1.0" encoding="utf-8"?>
<x:table xmlns:x="http://schemas.openxmlformats.org/spreadsheetml/2006/main" id="1" name="DanhMucLinhKien" displayName="DanhMucLinhKien" ref="A1:D11" headerRowCount="1" totalsRowCount="0" totalsRowShown="0">
  <x:tableColumns count="4">
    <x:tableColumn id="1" name="Mã linh kiện"/>
    <x:tableColumn id="2" name="Tên thiết bị"/>
    <x:tableColumn id="3" name="Đơn giá (VND)"/>
    <x:tableColumn id="4" name="Loại sto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gThaiTram" displayName="TrangThaiTram" ref="A1:F101" headerRowCount="1" totalsRowCount="0" totalsRowShown="0">
  <x:tableColumns count="6">
    <x:tableColumn id="1" name="Mã trạm"/>
    <x:tableColumn id="2" name="Mã linh kiện (FK)"/>
    <x:tableColumn id="3" name="Tên thiết bị (VLOOKUP)"/>
    <x:tableColumn id="4" name="Dung lượng RAM"/>
    <x:tableColumn id="5" name="Ngày lắp đặt"/>
    <x:tableColumn id="6" name="CP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f816c86ac340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d9b286e23e4aa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</x:cols>
  <x:sheetData>
    <x:row r="1" ht="30" customHeight="1">
      <x:c r="A1" s="6" t="str">
        <x:v>Mã linh kiện</x:v>
      </x:c>
      <x:c r="B1" s="6" t="str">
        <x:v>Tên thiết bị</x:v>
      </x:c>
      <x:c r="C1" s="6" t="str">
        <x:v>Đơn giá (VND)</x:v>
      </x:c>
      <x:c r="D1" s="6" t="str">
        <x:v>Loại storage</x:v>
      </x:c>
    </x:row>
    <x:row r="2">
      <x:c r="A2" s="14" t="str">
        <x:v>SSD-001</x:v>
      </x:c>
      <x:c r="B2" s="14" t="str">
        <x:v>SSD Samsung 870 EVO 500GB</x:v>
      </x:c>
      <x:c r="C2" s="17" t="n">
        <x:v>1250000</x:v>
      </x:c>
      <x:c r="D2" s="14" t="str">
        <x:v>SSD</x:v>
      </x:c>
    </x:row>
    <x:row r="3">
      <x:c r="A3" s="14" t="str">
        <x:v>SSD-002</x:v>
      </x:c>
      <x:c r="B3" s="14" t="str">
        <x:v>SSD Kingston NV2 1TB</x:v>
      </x:c>
      <x:c r="C3" s="17" t="n">
        <x:v>1650000</x:v>
      </x:c>
      <x:c r="D3" s="14" t="str">
        <x:v>SSD</x:v>
      </x:c>
    </x:row>
    <x:row r="4">
      <x:c r="A4" s="14" t="str">
        <x:v>SSD-003</x:v>
      </x:c>
      <x:c r="B4" s="14" t="str">
        <x:v>SSD WD Blue SN580 1TB</x:v>
      </x:c>
      <x:c r="C4" s="17" t="n">
        <x:v>1850000</x:v>
      </x:c>
      <x:c r="D4" s="14" t="str">
        <x:v>SSD</x:v>
      </x:c>
    </x:row>
    <x:row r="5">
      <x:c r="A5" s="14" t="str">
        <x:v>SSD-004</x:v>
      </x:c>
      <x:c r="B5" s="14" t="str">
        <x:v>SSD Crucial BX500 480GB</x:v>
      </x:c>
      <x:c r="C5" s="17" t="n">
        <x:v>980000</x:v>
      </x:c>
      <x:c r="D5" s="14" t="str">
        <x:v>SSD</x:v>
      </x:c>
    </x:row>
    <x:row r="6">
      <x:c r="A6" s="14" t="str">
        <x:v>SSD-005</x:v>
      </x:c>
      <x:c r="B6" s="14" t="str">
        <x:v>SSD Kingston A400 480GB</x:v>
      </x:c>
      <x:c r="C6" s="17" t="n">
        <x:v>890000</x:v>
      </x:c>
      <x:c r="D6" s="14" t="str">
        <x:v>SSD</x:v>
      </x:c>
    </x:row>
    <x:row r="7">
      <x:c r="A7" s="14" t="str">
        <x:v>HDD-001</x:v>
      </x:c>
      <x:c r="B7" s="14" t="str">
        <x:v>HDD Seagate BarraCuda 1TB</x:v>
      </x:c>
      <x:c r="C7" s="17" t="n">
        <x:v>1150000</x:v>
      </x:c>
      <x:c r="D7" s="14" t="str">
        <x:v>HDD</x:v>
      </x:c>
    </x:row>
    <x:row r="8">
      <x:c r="A8" s="14" t="str">
        <x:v>HDD-002</x:v>
      </x:c>
      <x:c r="B8" s="14" t="str">
        <x:v>HDD WD Blue 2TB</x:v>
      </x:c>
      <x:c r="C8" s="17" t="n">
        <x:v>1690000</x:v>
      </x:c>
      <x:c r="D8" s="14" t="str">
        <x:v>HDD</x:v>
      </x:c>
    </x:row>
    <x:row r="9">
      <x:c r="A9" s="14" t="str">
        <x:v>SSD-006</x:v>
      </x:c>
      <x:c r="B9" s="14" t="str">
        <x:v>SSD Samsung 980 PRO 1TB</x:v>
      </x:c>
      <x:c r="C9" s="17" t="n">
        <x:v>2350000</x:v>
      </x:c>
      <x:c r="D9" s="14" t="str">
        <x:v>SSD</x:v>
      </x:c>
    </x:row>
    <x:row r="10">
      <x:c r="A10" s="14" t="str">
        <x:v>SSD-007</x:v>
      </x:c>
      <x:c r="B10" s="14" t="str">
        <x:v>SSD Lexar NM620 512GB</x:v>
      </x:c>
      <x:c r="C10" s="17" t="n">
        <x:v>1050000</x:v>
      </x:c>
      <x:c r="D10" s="14" t="str">
        <x:v>SSD</x:v>
      </x:c>
    </x:row>
    <x:row r="11">
      <x:c r="A11" s="14" t="str">
        <x:v>HDD-003</x:v>
      </x:c>
      <x:c r="B11" s="14" t="str">
        <x:v>HDD Toshiba P300 2TB</x:v>
      </x:c>
      <x:c r="C11" s="17" t="n">
        <x:v>1580000</x:v>
      </x:c>
      <x:c r="D11" s="14" t="str">
        <x:v>HDD</x:v>
      </x:c>
    </x:row>
  </x:sheetData>
  <x:pageMargins left="0.7" right="0.7" top="0.75" bottom="0.75" header="0.3" footer="0.3"/>
  <x:tableParts count="1">
    <x:tablePart xmlns:r="http://schemas.openxmlformats.org/officeDocument/2006/relationships" r:id="Rd5f816c86ac340e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35" hidden="0" customWidth="1"/>
    <x:col min="4" max="4" width="18" hidden="0" customWidth="1"/>
    <x:col min="5" max="5" width="18" hidden="0" customWidth="1"/>
    <x:col min="6" max="6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4" customHeight="1">
      <x:c r="A1" s="6" t="str">
        <x:v>Mã trạm</x:v>
      </x:c>
      <x:c r="B1" s="6" t="str">
        <x:v>Mã linh kiện (FK)</x:v>
      </x:c>
      <x:c r="C1" s="6" t="str">
        <x:v>Tên thiết bị (VLOOKUP)</x:v>
      </x:c>
      <x:c r="D1" s="6" t="str">
        <x:v>Dung lượng RAM</x:v>
      </x:c>
      <x:c r="E1" s="6" t="str">
        <x:v>Ngày lắp đặt</x:v>
      </x:c>
      <x:c r="F1" s="6" t="str">
        <x:v>CPU</x:v>
      </x:c>
      <x:c r="H1" s="23" t="str">
        <x:v>HUONG DAN DOI SOAT</x:v>
      </x:c>
      <x:c r="I1" s="23"/>
      <x:c r="J1" s="23"/>
      <x:c r="K1" s="23"/>
    </x:row>
    <x:row r="2">
      <x:c r="A2" s="14" t="str">
        <x:v>TRAM-001</x:v>
      </x:c>
      <x:c r="B2" s="14" t="str">
        <x:v>SSD-001</x:v>
      </x:c>
      <x:c r="C2" s="14" t="str">
        <x:f>IFERROR(VLOOKUP(TRIM(B2),'danh-muc-linh-kien'!$A$2:$D$11,2,FALSE),"KIEM TRA MA")</x:f>
        <x:v>SSD Samsung 870 EVO 500GB</x:v>
      </x:c>
      <x:c r="D2" s="14" t="str">
        <x:v>4 GB</x:v>
      </x:c>
      <x:c r="E2" s="19" t="n">
        <x:v>45672</x:v>
      </x:c>
      <x:c r="F2" s="14" t="str">
        <x:v>Intel N100</x:v>
      </x:c>
      <x:c r="H2" s="29" t="str">
        <x:v>• Bang danh muc la bang cha, ma linh kien la khoa chinh.
• Bang trang thai tram la bang con, ma linh kien la khoa ngoai.
• Cot Ten thiet bi dung VLOOKUP voi FALSE de tim khop chinh xac.
• TRIM(B2) loai bo khoang trang thua truoc khi doi chieu.
• Neu hien KIEM TRA MA, hay doi chieu ma linh kien voi bang danh muc.
• Khong chen hang trong/merge cell vao vung du lieu.</x:v>
      </x:c>
      <x:c r="I2" s="29"/>
      <x:c r="J2" s="29"/>
      <x:c r="K2" s="29"/>
    </x:row>
    <x:row r="3">
      <x:c r="A3" s="14" t="str">
        <x:v>TRAM-002</x:v>
      </x:c>
      <x:c r="B3" s="14" t="str">
        <x:v>SSD-002</x:v>
      </x:c>
      <x:c r="C3" s="14" t="str">
        <x:f>IFERROR(VLOOKUP(TRIM(B3),'danh-muc-linh-kien'!$A$2:$D$11,2,FALSE),"KIEM TRA MA")</x:f>
        <x:v>SSD Kingston NV2 1TB</x:v>
      </x:c>
      <x:c r="D3" s="14" t="str">
        <x:v>8 GB</x:v>
      </x:c>
      <x:c r="E3" s="19" t="n">
        <x:v>45675</x:v>
      </x:c>
      <x:c r="F3" s="14" t="str">
        <x:v>Intel Core i3-12100</x:v>
      </x:c>
      <x:c r="H3" s="29"/>
      <x:c r="I3" s="29"/>
      <x:c r="J3" s="29"/>
      <x:c r="K3" s="29"/>
    </x:row>
    <x:row r="4">
      <x:c r="A4" s="14" t="str">
        <x:v>TRAM-003</x:v>
      </x:c>
      <x:c r="B4" s="14" t="str">
        <x:v>SSD-003</x:v>
      </x:c>
      <x:c r="C4" s="14" t="str">
        <x:f>IFERROR(VLOOKUP(TRIM(B4),'danh-muc-linh-kien'!$A$2:$D$11,2,FALSE),"KIEM TRA MA")</x:f>
        <x:v>SSD WD Blue SN580 1TB</x:v>
      </x:c>
      <x:c r="D4" s="14" t="str">
        <x:v>16 GB</x:v>
      </x:c>
      <x:c r="E4" s="19" t="n">
        <x:v>45678</x:v>
      </x:c>
      <x:c r="F4" s="14" t="str">
        <x:v>AMD Ryzen 5 5600G</x:v>
      </x:c>
      <x:c r="H4" s="29"/>
      <x:c r="I4" s="29"/>
      <x:c r="J4" s="29"/>
      <x:c r="K4" s="29"/>
    </x:row>
    <x:row r="5">
      <x:c r="A5" s="14" t="str">
        <x:v>TRAM-004</x:v>
      </x:c>
      <x:c r="B5" s="14" t="str">
        <x:v>SSD-004</x:v>
      </x:c>
      <x:c r="C5" s="14" t="str">
        <x:f>IFERROR(VLOOKUP(TRIM(B5),'danh-muc-linh-kien'!$A$2:$D$11,2,FALSE),"KIEM TRA MA")</x:f>
        <x:v>SSD Crucial BX500 480GB</x:v>
      </x:c>
      <x:c r="D5" s="14" t="str">
        <x:v>4 GB</x:v>
      </x:c>
      <x:c r="E5" s="19" t="n">
        <x:v>45681</x:v>
      </x:c>
      <x:c r="F5" s="14" t="str">
        <x:v>Intel Core i5-12400</x:v>
      </x:c>
      <x:c r="H5" s="29"/>
      <x:c r="I5" s="29"/>
      <x:c r="J5" s="29"/>
      <x:c r="K5" s="29"/>
    </x:row>
    <x:row r="6">
      <x:c r="A6" s="14" t="str">
        <x:v>TRAM-005</x:v>
      </x:c>
      <x:c r="B6" s="14" t="str">
        <x:v>SSD-005</x:v>
      </x:c>
      <x:c r="C6" s="14" t="str">
        <x:f>IFERROR(VLOOKUP(TRIM(B6),'danh-muc-linh-kien'!$A$2:$D$11,2,FALSE),"KIEM TRA MA")</x:f>
        <x:v>SSD Kingston A400 480GB</x:v>
      </x:c>
      <x:c r="D6" s="14" t="str">
        <x:v>8 GB</x:v>
      </x:c>
      <x:c r="E6" s="19" t="n">
        <x:v>45684</x:v>
      </x:c>
      <x:c r="F6" s="14" t="str">
        <x:v>Intel N100</x:v>
      </x:c>
      <x:c r="H6" s="29"/>
      <x:c r="I6" s="29"/>
      <x:c r="J6" s="29"/>
      <x:c r="K6" s="29"/>
    </x:row>
    <x:row r="7">
      <x:c r="A7" s="14" t="str">
        <x:v>TRAM-006</x:v>
      </x:c>
      <x:c r="B7" s="14" t="str">
        <x:v>HDD-001</x:v>
      </x:c>
      <x:c r="C7" s="14" t="str">
        <x:f>IFERROR(VLOOKUP(TRIM(B7),'danh-muc-linh-kien'!$A$2:$D$11,2,FALSE),"KIEM TRA MA")</x:f>
        <x:v>HDD Seagate BarraCuda 1TB</x:v>
      </x:c>
      <x:c r="D7" s="14" t="str">
        <x:v>16 GB</x:v>
      </x:c>
      <x:c r="E7" s="19" t="n">
        <x:v>45687</x:v>
      </x:c>
      <x:c r="F7" s="14" t="str">
        <x:v>Intel Core i3-12100</x:v>
      </x:c>
      <x:c r="H7" s="29"/>
      <x:c r="I7" s="29"/>
      <x:c r="J7" s="29"/>
      <x:c r="K7" s="29"/>
    </x:row>
    <x:row r="8">
      <x:c r="A8" s="14" t="str">
        <x:v>TRAM-007</x:v>
      </x:c>
      <x:c r="B8" s="14" t="str">
        <x:v>HDD-002 </x:v>
      </x:c>
      <x:c r="C8" s="14" t="str">
        <x:f>IFERROR(VLOOKUP(TRIM(B8),'danh-muc-linh-kien'!$A$2:$D$11,2,FALSE),"KIEM TRA MA")</x:f>
        <x:v>HDD WD Blue 2TB</x:v>
      </x:c>
      <x:c r="D8" s="14" t="str">
        <x:v>4 GB</x:v>
      </x:c>
      <x:c r="E8" s="19" t="n">
        <x:v>45690</x:v>
      </x:c>
      <x:c r="F8" s="14" t="str">
        <x:v>AMD Ryzen 5 5600G</x:v>
      </x:c>
    </x:row>
    <x:row r="9">
      <x:c r="A9" s="14" t="str">
        <x:v>TRAM-008</x:v>
      </x:c>
      <x:c r="B9" s="14" t="str">
        <x:v>SSD-006</x:v>
      </x:c>
      <x:c r="C9" s="14" t="str">
        <x:f>IFERROR(VLOOKUP(TRIM(B9),'danh-muc-linh-kien'!$A$2:$D$11,2,FALSE),"KIEM TRA MA")</x:f>
        <x:v>SSD Samsung 980 PRO 1TB</x:v>
      </x:c>
      <x:c r="D9" s="14" t="str">
        <x:v>8 GB</x:v>
      </x:c>
      <x:c r="E9" s="19" t="n">
        <x:v>45693</x:v>
      </x:c>
      <x:c r="F9" s="14" t="str">
        <x:v>Intel Core i5-12400</x:v>
      </x:c>
    </x:row>
    <x:row r="10">
      <x:c r="A10" s="14" t="str">
        <x:v>TRAM-009</x:v>
      </x:c>
      <x:c r="B10" s="14" t="str">
        <x:v>SSD-007</x:v>
      </x:c>
      <x:c r="C10" s="14" t="str">
        <x:f>IFERROR(VLOOKUP(TRIM(B10),'danh-muc-linh-kien'!$A$2:$D$11,2,FALSE),"KIEM TRA MA")</x:f>
        <x:v>SSD Lexar NM620 512GB</x:v>
      </x:c>
      <x:c r="D10" s="14" t="str">
        <x:v>16 GB</x:v>
      </x:c>
      <x:c r="E10" s="19" t="n">
        <x:v>45696</x:v>
      </x:c>
      <x:c r="F10" s="14" t="str">
        <x:v>Intel N100</x:v>
      </x:c>
    </x:row>
    <x:row r="11">
      <x:c r="A11" s="14" t="str">
        <x:v>TRAM-010</x:v>
      </x:c>
      <x:c r="B11" s="14" t="str">
        <x:v> HDD-003 </x:v>
      </x:c>
      <x:c r="C11" s="14" t="str">
        <x:f>IFERROR(VLOOKUP(TRIM(B11),'danh-muc-linh-kien'!$A$2:$D$11,2,FALSE),"KIEM TRA MA")</x:f>
        <x:v>HDD Toshiba P300 2TB</x:v>
      </x:c>
      <x:c r="D11" s="14" t="str">
        <x:v>4 GB</x:v>
      </x:c>
      <x:c r="E11" s="19" t="n">
        <x:v>45699</x:v>
      </x:c>
      <x:c r="F11" s="14" t="str">
        <x:v>Intel Core i3-12100</x:v>
      </x:c>
    </x:row>
    <x:row r="12">
      <x:c r="A12" s="14" t="str">
        <x:v>TRAM-011</x:v>
      </x:c>
      <x:c r="B12" s="14" t="str">
        <x:v>SSD-001</x:v>
      </x:c>
      <x:c r="C12" s="14" t="str">
        <x:f>IFERROR(VLOOKUP(TRIM(B12),'danh-muc-linh-kien'!$A$2:$D$11,2,FALSE),"KIEM TRA MA")</x:f>
        <x:v>SSD Samsung 870 EVO 500GB</x:v>
      </x:c>
      <x:c r="D12" s="14" t="str">
        <x:v>8 GB</x:v>
      </x:c>
      <x:c r="E12" s="19" t="n">
        <x:v>45702</x:v>
      </x:c>
      <x:c r="F12" s="14" t="str">
        <x:v>AMD Ryzen 5 5600G</x:v>
      </x:c>
    </x:row>
    <x:row r="13">
      <x:c r="A13" s="14" t="str">
        <x:v>TRAM-012</x:v>
      </x:c>
      <x:c r="B13" s="14" t="str">
        <x:v>SSD-002</x:v>
      </x:c>
      <x:c r="C13" s="14" t="str">
        <x:f>IFERROR(VLOOKUP(TRIM(B13),'danh-muc-linh-kien'!$A$2:$D$11,2,FALSE),"KIEM TRA MA")</x:f>
        <x:v>SSD Kingston NV2 1TB</x:v>
      </x:c>
      <x:c r="D13" s="14" t="str">
        <x:v>16 GB</x:v>
      </x:c>
      <x:c r="E13" s="19" t="n">
        <x:v>45705</x:v>
      </x:c>
      <x:c r="F13" s="14" t="str">
        <x:v>Intel Core i5-12400</x:v>
      </x:c>
    </x:row>
    <x:row r="14">
      <x:c r="A14" s="14" t="str">
        <x:v>TRAM-013</x:v>
      </x:c>
      <x:c r="B14" s="14" t="str">
        <x:v>SSD-003</x:v>
      </x:c>
      <x:c r="C14" s="14" t="str">
        <x:f>IFERROR(VLOOKUP(TRIM(B14),'danh-muc-linh-kien'!$A$2:$D$11,2,FALSE),"KIEM TRA MA")</x:f>
        <x:v>SSD WD Blue SN580 1TB</x:v>
      </x:c>
      <x:c r="D14" s="14" t="str">
        <x:v>4 GB</x:v>
      </x:c>
      <x:c r="E14" s="19" t="n">
        <x:v>45708</x:v>
      </x:c>
      <x:c r="F14" s="14" t="str">
        <x:v>Intel N100</x:v>
      </x:c>
    </x:row>
    <x:row r="15">
      <x:c r="A15" s="14" t="str">
        <x:v>TRAM-014</x:v>
      </x:c>
      <x:c r="B15" s="14" t="str">
        <x:v>SSD-004 </x:v>
      </x:c>
      <x:c r="C15" s="14" t="str">
        <x:f>IFERROR(VLOOKUP(TRIM(B15),'danh-muc-linh-kien'!$A$2:$D$11,2,FALSE),"KIEM TRA MA")</x:f>
        <x:v>SSD Crucial BX500 480GB</x:v>
      </x:c>
      <x:c r="D15" s="14" t="str">
        <x:v>8 GB</x:v>
      </x:c>
      <x:c r="E15" s="19" t="n">
        <x:v>45711</x:v>
      </x:c>
      <x:c r="F15" s="14" t="str">
        <x:v>Intel Core i3-12100</x:v>
      </x:c>
    </x:row>
    <x:row r="16">
      <x:c r="A16" s="14" t="str">
        <x:v>TRAM-015</x:v>
      </x:c>
      <x:c r="B16" s="14" t="str">
        <x:v>SSD-005</x:v>
      </x:c>
      <x:c r="C16" s="14" t="str">
        <x:f>IFERROR(VLOOKUP(TRIM(B16),'danh-muc-linh-kien'!$A$2:$D$11,2,FALSE),"KIEM TRA MA")</x:f>
        <x:v>SSD Kingston A400 480GB</x:v>
      </x:c>
      <x:c r="D16" s="14" t="str">
        <x:v>16 GB</x:v>
      </x:c>
      <x:c r="E16" s="19" t="n">
        <x:v>45714</x:v>
      </x:c>
      <x:c r="F16" s="14" t="str">
        <x:v>AMD Ryzen 5 5600G</x:v>
      </x:c>
    </x:row>
    <x:row r="17">
      <x:c r="A17" s="14" t="str">
        <x:v>TRAM-016</x:v>
      </x:c>
      <x:c r="B17" s="14" t="str">
        <x:v>HDD-001</x:v>
      </x:c>
      <x:c r="C17" s="14" t="str">
        <x:f>IFERROR(VLOOKUP(TRIM(B17),'danh-muc-linh-kien'!$A$2:$D$11,2,FALSE),"KIEM TRA MA")</x:f>
        <x:v>HDD Seagate BarraCuda 1TB</x:v>
      </x:c>
      <x:c r="D17" s="14" t="str">
        <x:v>4 GB</x:v>
      </x:c>
      <x:c r="E17" s="19" t="n">
        <x:v>45717</x:v>
      </x:c>
      <x:c r="F17" s="14" t="str">
        <x:v>Intel Core i5-12400</x:v>
      </x:c>
    </x:row>
    <x:row r="18">
      <x:c r="A18" s="14" t="str">
        <x:v>TRAM-017</x:v>
      </x:c>
      <x:c r="B18" s="14" t="str">
        <x:v>HDD-002</x:v>
      </x:c>
      <x:c r="C18" s="14" t="str">
        <x:f>IFERROR(VLOOKUP(TRIM(B18),'danh-muc-linh-kien'!$A$2:$D$11,2,FALSE),"KIEM TRA MA")</x:f>
        <x:v>HDD WD Blue 2TB</x:v>
      </x:c>
      <x:c r="D18" s="14" t="str">
        <x:v>8 GB</x:v>
      </x:c>
      <x:c r="E18" s="19" t="n">
        <x:v>45720</x:v>
      </x:c>
      <x:c r="F18" s="14" t="str">
        <x:v>Intel N100</x:v>
      </x:c>
    </x:row>
    <x:row r="19">
      <x:c r="A19" s="14" t="str">
        <x:v>TRAM-018</x:v>
      </x:c>
      <x:c r="B19" s="14" t="str">
        <x:v>SSD-006</x:v>
      </x:c>
      <x:c r="C19" s="14" t="str">
        <x:f>IFERROR(VLOOKUP(TRIM(B19),'danh-muc-linh-kien'!$A$2:$D$11,2,FALSE),"KIEM TRA MA")</x:f>
        <x:v>SSD Samsung 980 PRO 1TB</x:v>
      </x:c>
      <x:c r="D19" s="14" t="str">
        <x:v>16 GB</x:v>
      </x:c>
      <x:c r="E19" s="19" t="n">
        <x:v>45723</x:v>
      </x:c>
      <x:c r="F19" s="14" t="str">
        <x:v>Intel Core i3-12100</x:v>
      </x:c>
    </x:row>
    <x:row r="20">
      <x:c r="A20" s="14" t="str">
        <x:v>TRAM-019</x:v>
      </x:c>
      <x:c r="B20" s="14" t="str">
        <x:v>SSD-007</x:v>
      </x:c>
      <x:c r="C20" s="14" t="str">
        <x:f>IFERROR(VLOOKUP(TRIM(B20),'danh-muc-linh-kien'!$A$2:$D$11,2,FALSE),"KIEM TRA MA")</x:f>
        <x:v>SSD Lexar NM620 512GB</x:v>
      </x:c>
      <x:c r="D20" s="14" t="str">
        <x:v>4 GB</x:v>
      </x:c>
      <x:c r="E20" s="19" t="n">
        <x:v>45726</x:v>
      </x:c>
      <x:c r="F20" s="14" t="str">
        <x:v>AMD Ryzen 5 5600G</x:v>
      </x:c>
    </x:row>
    <x:row r="21">
      <x:c r="A21" s="14" t="str">
        <x:v>TRAM-020</x:v>
      </x:c>
      <x:c r="B21" s="14" t="str">
        <x:v> HDD-003 </x:v>
      </x:c>
      <x:c r="C21" s="14" t="str">
        <x:f>IFERROR(VLOOKUP(TRIM(B21),'danh-muc-linh-kien'!$A$2:$D$11,2,FALSE),"KIEM TRA MA")</x:f>
        <x:v>HDD Toshiba P300 2TB</x:v>
      </x:c>
      <x:c r="D21" s="14" t="str">
        <x:v>8 GB</x:v>
      </x:c>
      <x:c r="E21" s="19" t="n">
        <x:v>45729</x:v>
      </x:c>
      <x:c r="F21" s="14" t="str">
        <x:v>Intel Core i5-12400</x:v>
      </x:c>
    </x:row>
    <x:row r="22">
      <x:c r="A22" s="14" t="str">
        <x:v>TRAM-021</x:v>
      </x:c>
      <x:c r="B22" s="14" t="str">
        <x:v>SSD-001 </x:v>
      </x:c>
      <x:c r="C22" s="14" t="str">
        <x:f>IFERROR(VLOOKUP(TRIM(B22),'danh-muc-linh-kien'!$A$2:$D$11,2,FALSE),"KIEM TRA MA")</x:f>
        <x:v>SSD Samsung 870 EVO 500GB</x:v>
      </x:c>
      <x:c r="D22" s="14" t="str">
        <x:v>16 GB</x:v>
      </x:c>
      <x:c r="E22" s="19" t="n">
        <x:v>45732</x:v>
      </x:c>
      <x:c r="F22" s="14" t="str">
        <x:v>Intel N100</x:v>
      </x:c>
    </x:row>
    <x:row r="23">
      <x:c r="A23" s="14" t="str">
        <x:v>TRAM-022</x:v>
      </x:c>
      <x:c r="B23" s="14" t="str">
        <x:v>SSD-002</x:v>
      </x:c>
      <x:c r="C23" s="14" t="str">
        <x:f>IFERROR(VLOOKUP(TRIM(B23),'danh-muc-linh-kien'!$A$2:$D$11,2,FALSE),"KIEM TRA MA")</x:f>
        <x:v>SSD Kingston NV2 1TB</x:v>
      </x:c>
      <x:c r="D23" s="14" t="str">
        <x:v>4 GB</x:v>
      </x:c>
      <x:c r="E23" s="19" t="n">
        <x:v>45735</x:v>
      </x:c>
      <x:c r="F23" s="14" t="str">
        <x:v>Intel Core i3-12100</x:v>
      </x:c>
    </x:row>
    <x:row r="24">
      <x:c r="A24" s="14" t="str">
        <x:v>TRAM-023</x:v>
      </x:c>
      <x:c r="B24" s="14" t="str">
        <x:v>SSD-003</x:v>
      </x:c>
      <x:c r="C24" s="14" t="str">
        <x:f>IFERROR(VLOOKUP(TRIM(B24),'danh-muc-linh-kien'!$A$2:$D$11,2,FALSE),"KIEM TRA MA")</x:f>
        <x:v>SSD WD Blue SN580 1TB</x:v>
      </x:c>
      <x:c r="D24" s="14" t="str">
        <x:v>8 GB</x:v>
      </x:c>
      <x:c r="E24" s="19" t="n">
        <x:v>45738</x:v>
      </x:c>
      <x:c r="F24" s="14" t="str">
        <x:v>AMD Ryzen 5 5600G</x:v>
      </x:c>
    </x:row>
    <x:row r="25">
      <x:c r="A25" s="14" t="str">
        <x:v>TRAM-024</x:v>
      </x:c>
      <x:c r="B25" s="14" t="str">
        <x:v>SSD-004</x:v>
      </x:c>
      <x:c r="C25" s="14" t="str">
        <x:f>IFERROR(VLOOKUP(TRIM(B25),'danh-muc-linh-kien'!$A$2:$D$11,2,FALSE),"KIEM TRA MA")</x:f>
        <x:v>SSD Crucial BX500 480GB</x:v>
      </x:c>
      <x:c r="D25" s="14" t="str">
        <x:v>16 GB</x:v>
      </x:c>
      <x:c r="E25" s="19" t="n">
        <x:v>45741</x:v>
      </x:c>
      <x:c r="F25" s="14" t="str">
        <x:v>Intel Core i5-12400</x:v>
      </x:c>
    </x:row>
    <x:row r="26">
      <x:c r="A26" s="14" t="str">
        <x:v>TRAM-025</x:v>
      </x:c>
      <x:c r="B26" s="14" t="str">
        <x:v>SSD-005</x:v>
      </x:c>
      <x:c r="C26" s="14" t="str">
        <x:f>IFERROR(VLOOKUP(TRIM(B26),'danh-muc-linh-kien'!$A$2:$D$11,2,FALSE),"KIEM TRA MA")</x:f>
        <x:v>SSD Kingston A400 480GB</x:v>
      </x:c>
      <x:c r="D26" s="14" t="str">
        <x:v>4 GB</x:v>
      </x:c>
      <x:c r="E26" s="19" t="n">
        <x:v>45744</x:v>
      </x:c>
      <x:c r="F26" s="14" t="str">
        <x:v>Intel N100</x:v>
      </x:c>
    </x:row>
    <x:row r="27">
      <x:c r="A27" s="14" t="str">
        <x:v>TRAM-026</x:v>
      </x:c>
      <x:c r="B27" s="14" t="str">
        <x:v>HDD-001</x:v>
      </x:c>
      <x:c r="C27" s="14" t="str">
        <x:f>IFERROR(VLOOKUP(TRIM(B27),'danh-muc-linh-kien'!$A$2:$D$11,2,FALSE),"KIEM TRA MA")</x:f>
        <x:v>HDD Seagate BarraCuda 1TB</x:v>
      </x:c>
      <x:c r="D27" s="14" t="str">
        <x:v>8 GB</x:v>
      </x:c>
      <x:c r="E27" s="19" t="n">
        <x:v>45747</x:v>
      </x:c>
      <x:c r="F27" s="14" t="str">
        <x:v>Intel Core i3-12100</x:v>
      </x:c>
    </x:row>
    <x:row r="28">
      <x:c r="A28" s="14" t="str">
        <x:v>TRAM-027</x:v>
      </x:c>
      <x:c r="B28" s="14" t="str">
        <x:v>HDD-002</x:v>
      </x:c>
      <x:c r="C28" s="14" t="str">
        <x:f>IFERROR(VLOOKUP(TRIM(B28),'danh-muc-linh-kien'!$A$2:$D$11,2,FALSE),"KIEM TRA MA")</x:f>
        <x:v>HDD WD Blue 2TB</x:v>
      </x:c>
      <x:c r="D28" s="14" t="str">
        <x:v>16 GB</x:v>
      </x:c>
      <x:c r="E28" s="19" t="n">
        <x:v>45750</x:v>
      </x:c>
      <x:c r="F28" s="14" t="str">
        <x:v>AMD Ryzen 5 5600G</x:v>
      </x:c>
    </x:row>
    <x:row r="29">
      <x:c r="A29" s="14" t="str">
        <x:v>TRAM-028</x:v>
      </x:c>
      <x:c r="B29" s="14" t="str">
        <x:v>SSD-006 </x:v>
      </x:c>
      <x:c r="C29" s="14" t="str">
        <x:f>IFERROR(VLOOKUP(TRIM(B29),'danh-muc-linh-kien'!$A$2:$D$11,2,FALSE),"KIEM TRA MA")</x:f>
        <x:v>SSD Samsung 980 PRO 1TB</x:v>
      </x:c>
      <x:c r="D29" s="14" t="str">
        <x:v>4 GB</x:v>
      </x:c>
      <x:c r="E29" s="19" t="n">
        <x:v>45753</x:v>
      </x:c>
      <x:c r="F29" s="14" t="str">
        <x:v>Intel Core i5-12400</x:v>
      </x:c>
    </x:row>
    <x:row r="30">
      <x:c r="A30" s="14" t="str">
        <x:v>TRAM-029</x:v>
      </x:c>
      <x:c r="B30" s="14" t="str">
        <x:v>SSD-007</x:v>
      </x:c>
      <x:c r="C30" s="14" t="str">
        <x:f>IFERROR(VLOOKUP(TRIM(B30),'danh-muc-linh-kien'!$A$2:$D$11,2,FALSE),"KIEM TRA MA")</x:f>
        <x:v>SSD Lexar NM620 512GB</x:v>
      </x:c>
      <x:c r="D30" s="14" t="str">
        <x:v>8 GB</x:v>
      </x:c>
      <x:c r="E30" s="19" t="n">
        <x:v>45756</x:v>
      </x:c>
      <x:c r="F30" s="14" t="str">
        <x:v>Intel N100</x:v>
      </x:c>
    </x:row>
    <x:row r="31">
      <x:c r="A31" s="14" t="str">
        <x:v>TRAM-030</x:v>
      </x:c>
      <x:c r="B31" s="14" t="str">
        <x:v> HDD-003 </x:v>
      </x:c>
      <x:c r="C31" s="14" t="str">
        <x:f>IFERROR(VLOOKUP(TRIM(B31),'danh-muc-linh-kien'!$A$2:$D$11,2,FALSE),"KIEM TRA MA")</x:f>
        <x:v>HDD Toshiba P300 2TB</x:v>
      </x:c>
      <x:c r="D31" s="14" t="str">
        <x:v>16 GB</x:v>
      </x:c>
      <x:c r="E31" s="19" t="n">
        <x:v>45759</x:v>
      </x:c>
      <x:c r="F31" s="14" t="str">
        <x:v>Intel Core i3-12100</x:v>
      </x:c>
    </x:row>
    <x:row r="32">
      <x:c r="A32" s="14" t="str">
        <x:v>TRAM-031</x:v>
      </x:c>
      <x:c r="B32" s="14" t="str">
        <x:v>SSD-001</x:v>
      </x:c>
      <x:c r="C32" s="14" t="str">
        <x:f>IFERROR(VLOOKUP(TRIM(B32),'danh-muc-linh-kien'!$A$2:$D$11,2,FALSE),"KIEM TRA MA")</x:f>
        <x:v>SSD Samsung 870 EVO 500GB</x:v>
      </x:c>
      <x:c r="D32" s="14" t="str">
        <x:v>4 GB</x:v>
      </x:c>
      <x:c r="E32" s="19" t="n">
        <x:v>45762</x:v>
      </x:c>
      <x:c r="F32" s="14" t="str">
        <x:v>AMD Ryzen 5 5600G</x:v>
      </x:c>
    </x:row>
    <x:row r="33">
      <x:c r="A33" s="14" t="str">
        <x:v>TRAM-032</x:v>
      </x:c>
      <x:c r="B33" s="14" t="str">
        <x:v>SSD-002</x:v>
      </x:c>
      <x:c r="C33" s="14" t="str">
        <x:f>IFERROR(VLOOKUP(TRIM(B33),'danh-muc-linh-kien'!$A$2:$D$11,2,FALSE),"KIEM TRA MA")</x:f>
        <x:v>SSD Kingston NV2 1TB</x:v>
      </x:c>
      <x:c r="D33" s="14" t="str">
        <x:v>8 GB</x:v>
      </x:c>
      <x:c r="E33" s="19" t="n">
        <x:v>45765</x:v>
      </x:c>
      <x:c r="F33" s="14" t="str">
        <x:v>Intel Core i5-12400</x:v>
      </x:c>
    </x:row>
    <x:row r="34">
      <x:c r="A34" s="14" t="str">
        <x:v>TRAM-033</x:v>
      </x:c>
      <x:c r="B34" s="14" t="str">
        <x:v>SSD-003</x:v>
      </x:c>
      <x:c r="C34" s="14" t="str">
        <x:f>IFERROR(VLOOKUP(TRIM(B34),'danh-muc-linh-kien'!$A$2:$D$11,2,FALSE),"KIEM TRA MA")</x:f>
        <x:v>SSD WD Blue SN580 1TB</x:v>
      </x:c>
      <x:c r="D34" s="14" t="str">
        <x:v>16 GB</x:v>
      </x:c>
      <x:c r="E34" s="19" t="n">
        <x:v>45768</x:v>
      </x:c>
      <x:c r="F34" s="14" t="str">
        <x:v>Intel N100</x:v>
      </x:c>
    </x:row>
    <x:row r="35">
      <x:c r="A35" s="14" t="str">
        <x:v>TRAM-034</x:v>
      </x:c>
      <x:c r="B35" s="14" t="str">
        <x:v>SSD-004</x:v>
      </x:c>
      <x:c r="C35" s="14" t="str">
        <x:f>IFERROR(VLOOKUP(TRIM(B35),'danh-muc-linh-kien'!$A$2:$D$11,2,FALSE),"KIEM TRA MA")</x:f>
        <x:v>SSD Crucial BX500 480GB</x:v>
      </x:c>
      <x:c r="D35" s="14" t="str">
        <x:v>4 GB</x:v>
      </x:c>
      <x:c r="E35" s="19" t="n">
        <x:v>45771</x:v>
      </x:c>
      <x:c r="F35" s="14" t="str">
        <x:v>Intel Core i3-12100</x:v>
      </x:c>
    </x:row>
    <x:row r="36">
      <x:c r="A36" s="14" t="str">
        <x:v>TRAM-035</x:v>
      </x:c>
      <x:c r="B36" s="14" t="str">
        <x:v>SSD-005 </x:v>
      </x:c>
      <x:c r="C36" s="14" t="str">
        <x:f>IFERROR(VLOOKUP(TRIM(B36),'danh-muc-linh-kien'!$A$2:$D$11,2,FALSE),"KIEM TRA MA")</x:f>
        <x:v>SSD Kingston A400 480GB</x:v>
      </x:c>
      <x:c r="D36" s="14" t="str">
        <x:v>8 GB</x:v>
      </x:c>
      <x:c r="E36" s="19" t="n">
        <x:v>45774</x:v>
      </x:c>
      <x:c r="F36" s="14" t="str">
        <x:v>AMD Ryzen 5 5600G</x:v>
      </x:c>
    </x:row>
    <x:row r="37">
      <x:c r="A37" s="14" t="str">
        <x:v>TRAM-036</x:v>
      </x:c>
      <x:c r="B37" s="14" t="str">
        <x:v>HDD-001</x:v>
      </x:c>
      <x:c r="C37" s="14" t="str">
        <x:f>IFERROR(VLOOKUP(TRIM(B37),'danh-muc-linh-kien'!$A$2:$D$11,2,FALSE),"KIEM TRA MA")</x:f>
        <x:v>HDD Seagate BarraCuda 1TB</x:v>
      </x:c>
      <x:c r="D37" s="14" t="str">
        <x:v>16 GB</x:v>
      </x:c>
      <x:c r="E37" s="19" t="n">
        <x:v>45777</x:v>
      </x:c>
      <x:c r="F37" s="14" t="str">
        <x:v>Intel Core i5-12400</x:v>
      </x:c>
    </x:row>
    <x:row r="38">
      <x:c r="A38" s="14" t="str">
        <x:v>TRAM-037</x:v>
      </x:c>
      <x:c r="B38" s="14" t="str">
        <x:v>HDD-002</x:v>
      </x:c>
      <x:c r="C38" s="14" t="str">
        <x:f>IFERROR(VLOOKUP(TRIM(B38),'danh-muc-linh-kien'!$A$2:$D$11,2,FALSE),"KIEM TRA MA")</x:f>
        <x:v>HDD WD Blue 2TB</x:v>
      </x:c>
      <x:c r="D38" s="14" t="str">
        <x:v>4 GB</x:v>
      </x:c>
      <x:c r="E38" s="19" t="n">
        <x:v>45780</x:v>
      </x:c>
      <x:c r="F38" s="14" t="str">
        <x:v>Intel N100</x:v>
      </x:c>
    </x:row>
    <x:row r="39">
      <x:c r="A39" s="14" t="str">
        <x:v>TRAM-038</x:v>
      </x:c>
      <x:c r="B39" s="14" t="str">
        <x:v>SSD-006</x:v>
      </x:c>
      <x:c r="C39" s="14" t="str">
        <x:f>IFERROR(VLOOKUP(TRIM(B39),'danh-muc-linh-kien'!$A$2:$D$11,2,FALSE),"KIEM TRA MA")</x:f>
        <x:v>SSD Samsung 980 PRO 1TB</x:v>
      </x:c>
      <x:c r="D39" s="14" t="str">
        <x:v>8 GB</x:v>
      </x:c>
      <x:c r="E39" s="19" t="n">
        <x:v>45783</x:v>
      </x:c>
      <x:c r="F39" s="14" t="str">
        <x:v>Intel Core i3-12100</x:v>
      </x:c>
    </x:row>
    <x:row r="40">
      <x:c r="A40" s="14" t="str">
        <x:v>TRAM-039</x:v>
      </x:c>
      <x:c r="B40" s="14" t="str">
        <x:v>SSD-007</x:v>
      </x:c>
      <x:c r="C40" s="14" t="str">
        <x:f>IFERROR(VLOOKUP(TRIM(B40),'danh-muc-linh-kien'!$A$2:$D$11,2,FALSE),"KIEM TRA MA")</x:f>
        <x:v>SSD Lexar NM620 512GB</x:v>
      </x:c>
      <x:c r="D40" s="14" t="str">
        <x:v>16 GB</x:v>
      </x:c>
      <x:c r="E40" s="19" t="n">
        <x:v>45786</x:v>
      </x:c>
      <x:c r="F40" s="14" t="str">
        <x:v>AMD Ryzen 5 5600G</x:v>
      </x:c>
    </x:row>
    <x:row r="41">
      <x:c r="A41" s="14" t="str">
        <x:v>TRAM-040</x:v>
      </x:c>
      <x:c r="B41" s="14" t="str">
        <x:v> HDD-003 </x:v>
      </x:c>
      <x:c r="C41" s="14" t="str">
        <x:f>IFERROR(VLOOKUP(TRIM(B41),'danh-muc-linh-kien'!$A$2:$D$11,2,FALSE),"KIEM TRA MA")</x:f>
        <x:v>HDD Toshiba P300 2TB</x:v>
      </x:c>
      <x:c r="D41" s="14" t="str">
        <x:v>4 GB</x:v>
      </x:c>
      <x:c r="E41" s="19" t="n">
        <x:v>45789</x:v>
      </x:c>
      <x:c r="F41" s="14" t="str">
        <x:v>Intel Core i5-12400</x:v>
      </x:c>
    </x:row>
    <x:row r="42">
      <x:c r="A42" s="14" t="str">
        <x:v>TRAM-041</x:v>
      </x:c>
      <x:c r="B42" s="14" t="str">
        <x:v>SSD-001</x:v>
      </x:c>
      <x:c r="C42" s="14" t="str">
        <x:f>IFERROR(VLOOKUP(TRIM(B42),'danh-muc-linh-kien'!$A$2:$D$11,2,FALSE),"KIEM TRA MA")</x:f>
        <x:v>SSD Samsung 870 EVO 500GB</x:v>
      </x:c>
      <x:c r="D42" s="14" t="str">
        <x:v>8 GB</x:v>
      </x:c>
      <x:c r="E42" s="19" t="n">
        <x:v>45792</x:v>
      </x:c>
      <x:c r="F42" s="14" t="str">
        <x:v>Intel N100</x:v>
      </x:c>
    </x:row>
    <x:row r="43">
      <x:c r="A43" s="14" t="str">
        <x:v>TRAM-042</x:v>
      </x:c>
      <x:c r="B43" s="14" t="str">
        <x:v>SSD-002 </x:v>
      </x:c>
      <x:c r="C43" s="14" t="str">
        <x:f>IFERROR(VLOOKUP(TRIM(B43),'danh-muc-linh-kien'!$A$2:$D$11,2,FALSE),"KIEM TRA MA")</x:f>
        <x:v>SSD Kingston NV2 1TB</x:v>
      </x:c>
      <x:c r="D43" s="14" t="str">
        <x:v>16 GB</x:v>
      </x:c>
      <x:c r="E43" s="19" t="n">
        <x:v>45795</x:v>
      </x:c>
      <x:c r="F43" s="14" t="str">
        <x:v>Intel Core i3-12100</x:v>
      </x:c>
    </x:row>
    <x:row r="44">
      <x:c r="A44" s="14" t="str">
        <x:v>TRAM-043</x:v>
      </x:c>
      <x:c r="B44" s="14" t="str">
        <x:v>SSD-003</x:v>
      </x:c>
      <x:c r="C44" s="14" t="str">
        <x:f>IFERROR(VLOOKUP(TRIM(B44),'danh-muc-linh-kien'!$A$2:$D$11,2,FALSE),"KIEM TRA MA")</x:f>
        <x:v>SSD WD Blue SN580 1TB</x:v>
      </x:c>
      <x:c r="D44" s="14" t="str">
        <x:v>4 GB</x:v>
      </x:c>
      <x:c r="E44" s="19" t="n">
        <x:v>45798</x:v>
      </x:c>
      <x:c r="F44" s="14" t="str">
        <x:v>AMD Ryzen 5 5600G</x:v>
      </x:c>
    </x:row>
    <x:row r="45">
      <x:c r="A45" s="14" t="str">
        <x:v>TRAM-044</x:v>
      </x:c>
      <x:c r="B45" s="14" t="str">
        <x:v>SSD-004</x:v>
      </x:c>
      <x:c r="C45" s="14" t="str">
        <x:f>IFERROR(VLOOKUP(TRIM(B45),'danh-muc-linh-kien'!$A$2:$D$11,2,FALSE),"KIEM TRA MA")</x:f>
        <x:v>SSD Crucial BX500 480GB</x:v>
      </x:c>
      <x:c r="D45" s="14" t="str">
        <x:v>8 GB</x:v>
      </x:c>
      <x:c r="E45" s="19" t="n">
        <x:v>45801</x:v>
      </x:c>
      <x:c r="F45" s="14" t="str">
        <x:v>Intel Core i5-12400</x:v>
      </x:c>
    </x:row>
    <x:row r="46">
      <x:c r="A46" s="14" t="str">
        <x:v>TRAM-045</x:v>
      </x:c>
      <x:c r="B46" s="14" t="str">
        <x:v>SSD-005</x:v>
      </x:c>
      <x:c r="C46" s="14" t="str">
        <x:f>IFERROR(VLOOKUP(TRIM(B46),'danh-muc-linh-kien'!$A$2:$D$11,2,FALSE),"KIEM TRA MA")</x:f>
        <x:v>SSD Kingston A400 480GB</x:v>
      </x:c>
      <x:c r="D46" s="14" t="str">
        <x:v>16 GB</x:v>
      </x:c>
      <x:c r="E46" s="19" t="n">
        <x:v>45804</x:v>
      </x:c>
      <x:c r="F46" s="14" t="str">
        <x:v>Intel N100</x:v>
      </x:c>
    </x:row>
    <x:row r="47">
      <x:c r="A47" s="14" t="str">
        <x:v>TRAM-046</x:v>
      </x:c>
      <x:c r="B47" s="14" t="str">
        <x:v>HDD-001</x:v>
      </x:c>
      <x:c r="C47" s="14" t="str">
        <x:f>IFERROR(VLOOKUP(TRIM(B47),'danh-muc-linh-kien'!$A$2:$D$11,2,FALSE),"KIEM TRA MA")</x:f>
        <x:v>HDD Seagate BarraCuda 1TB</x:v>
      </x:c>
      <x:c r="D47" s="14" t="str">
        <x:v>4 GB</x:v>
      </x:c>
      <x:c r="E47" s="19" t="n">
        <x:v>45807</x:v>
      </x:c>
      <x:c r="F47" s="14" t="str">
        <x:v>Intel Core i3-12100</x:v>
      </x:c>
    </x:row>
    <x:row r="48">
      <x:c r="A48" s="14" t="str">
        <x:v>TRAM-047</x:v>
      </x:c>
      <x:c r="B48" s="14" t="str">
        <x:v>HDD-002</x:v>
      </x:c>
      <x:c r="C48" s="14" t="str">
        <x:f>IFERROR(VLOOKUP(TRIM(B48),'danh-muc-linh-kien'!$A$2:$D$11,2,FALSE),"KIEM TRA MA")</x:f>
        <x:v>HDD WD Blue 2TB</x:v>
      </x:c>
      <x:c r="D48" s="14" t="str">
        <x:v>8 GB</x:v>
      </x:c>
      <x:c r="E48" s="19" t="n">
        <x:v>45810</x:v>
      </x:c>
      <x:c r="F48" s="14" t="str">
        <x:v>AMD Ryzen 5 5600G</x:v>
      </x:c>
    </x:row>
    <x:row r="49">
      <x:c r="A49" s="14" t="str">
        <x:v>TRAM-048</x:v>
      </x:c>
      <x:c r="B49" s="14" t="str">
        <x:v>SSD-006</x:v>
      </x:c>
      <x:c r="C49" s="14" t="str">
        <x:f>IFERROR(VLOOKUP(TRIM(B49),'danh-muc-linh-kien'!$A$2:$D$11,2,FALSE),"KIEM TRA MA")</x:f>
        <x:v>SSD Samsung 980 PRO 1TB</x:v>
      </x:c>
      <x:c r="D49" s="14" t="str">
        <x:v>16 GB</x:v>
      </x:c>
      <x:c r="E49" s="19" t="n">
        <x:v>45813</x:v>
      </x:c>
      <x:c r="F49" s="14" t="str">
        <x:v>Intel Core i5-12400</x:v>
      </x:c>
    </x:row>
    <x:row r="50">
      <x:c r="A50" s="14" t="str">
        <x:v>TRAM-049</x:v>
      </x:c>
      <x:c r="B50" s="14" t="str">
        <x:v>SSD-007 </x:v>
      </x:c>
      <x:c r="C50" s="14" t="str">
        <x:f>IFERROR(VLOOKUP(TRIM(B50),'danh-muc-linh-kien'!$A$2:$D$11,2,FALSE),"KIEM TRA MA")</x:f>
        <x:v>SSD Lexar NM620 512GB</x:v>
      </x:c>
      <x:c r="D50" s="14" t="str">
        <x:v>4 GB</x:v>
      </x:c>
      <x:c r="E50" s="19" t="n">
        <x:v>45816</x:v>
      </x:c>
      <x:c r="F50" s="14" t="str">
        <x:v>Intel N100</x:v>
      </x:c>
    </x:row>
    <x:row r="51">
      <x:c r="A51" s="14" t="str">
        <x:v>TRAM-050</x:v>
      </x:c>
      <x:c r="B51" s="14" t="str">
        <x:v> HDD-003 </x:v>
      </x:c>
      <x:c r="C51" s="14" t="str">
        <x:f>IFERROR(VLOOKUP(TRIM(B51),'danh-muc-linh-kien'!$A$2:$D$11,2,FALSE),"KIEM TRA MA")</x:f>
        <x:v>HDD Toshiba P300 2TB</x:v>
      </x:c>
      <x:c r="D51" s="14" t="str">
        <x:v>8 GB</x:v>
      </x:c>
      <x:c r="E51" s="19" t="n">
        <x:v>45819</x:v>
      </x:c>
      <x:c r="F51" s="14" t="str">
        <x:v>Intel Core i3-12100</x:v>
      </x:c>
    </x:row>
    <x:row r="52">
      <x:c r="A52" s="14" t="str">
        <x:v>TRAM-051</x:v>
      </x:c>
      <x:c r="B52" s="14" t="str">
        <x:v>SSD-001</x:v>
      </x:c>
      <x:c r="C52" s="14" t="str">
        <x:f>IFERROR(VLOOKUP(TRIM(B52),'danh-muc-linh-kien'!$A$2:$D$11,2,FALSE),"KIEM TRA MA")</x:f>
        <x:v>SSD Samsung 870 EVO 500GB</x:v>
      </x:c>
      <x:c r="D52" s="14" t="str">
        <x:v>16 GB</x:v>
      </x:c>
      <x:c r="E52" s="19" t="n">
        <x:v>45822</x:v>
      </x:c>
      <x:c r="F52" s="14" t="str">
        <x:v>AMD Ryzen 5 5600G</x:v>
      </x:c>
    </x:row>
    <x:row r="53">
      <x:c r="A53" s="14" t="str">
        <x:v>TRAM-052</x:v>
      </x:c>
      <x:c r="B53" s="14" t="str">
        <x:v>SSD-002</x:v>
      </x:c>
      <x:c r="C53" s="14" t="str">
        <x:f>IFERROR(VLOOKUP(TRIM(B53),'danh-muc-linh-kien'!$A$2:$D$11,2,FALSE),"KIEM TRA MA")</x:f>
        <x:v>SSD Kingston NV2 1TB</x:v>
      </x:c>
      <x:c r="D53" s="14" t="str">
        <x:v>4 GB</x:v>
      </x:c>
      <x:c r="E53" s="19" t="n">
        <x:v>45825</x:v>
      </x:c>
      <x:c r="F53" s="14" t="str">
        <x:v>Intel Core i5-12400</x:v>
      </x:c>
    </x:row>
    <x:row r="54">
      <x:c r="A54" s="14" t="str">
        <x:v>TRAM-053</x:v>
      </x:c>
      <x:c r="B54" s="14" t="str">
        <x:v>SSD-003</x:v>
      </x:c>
      <x:c r="C54" s="14" t="str">
        <x:f>IFERROR(VLOOKUP(TRIM(B54),'danh-muc-linh-kien'!$A$2:$D$11,2,FALSE),"KIEM TRA MA")</x:f>
        <x:v>SSD WD Blue SN580 1TB</x:v>
      </x:c>
      <x:c r="D54" s="14" t="str">
        <x:v>8 GB</x:v>
      </x:c>
      <x:c r="E54" s="19" t="n">
        <x:v>45828</x:v>
      </x:c>
      <x:c r="F54" s="14" t="str">
        <x:v>Intel N100</x:v>
      </x:c>
    </x:row>
    <x:row r="55">
      <x:c r="A55" s="14" t="str">
        <x:v>TRAM-054</x:v>
      </x:c>
      <x:c r="B55" s="14" t="str">
        <x:v>SSD-004</x:v>
      </x:c>
      <x:c r="C55" s="14" t="str">
        <x:f>IFERROR(VLOOKUP(TRIM(B55),'danh-muc-linh-kien'!$A$2:$D$11,2,FALSE),"KIEM TRA MA")</x:f>
        <x:v>SSD Crucial BX500 480GB</x:v>
      </x:c>
      <x:c r="D55" s="14" t="str">
        <x:v>16 GB</x:v>
      </x:c>
      <x:c r="E55" s="19" t="n">
        <x:v>45831</x:v>
      </x:c>
      <x:c r="F55" s="14" t="str">
        <x:v>Intel Core i3-12100</x:v>
      </x:c>
    </x:row>
    <x:row r="56">
      <x:c r="A56" s="14" t="str">
        <x:v>TRAM-055</x:v>
      </x:c>
      <x:c r="B56" s="14" t="str">
        <x:v>SSD-005</x:v>
      </x:c>
      <x:c r="C56" s="14" t="str">
        <x:f>IFERROR(VLOOKUP(TRIM(B56),'danh-muc-linh-kien'!$A$2:$D$11,2,FALSE),"KIEM TRA MA")</x:f>
        <x:v>SSD Kingston A400 480GB</x:v>
      </x:c>
      <x:c r="D56" s="14" t="str">
        <x:v>4 GB</x:v>
      </x:c>
      <x:c r="E56" s="19" t="n">
        <x:v>45834</x:v>
      </x:c>
      <x:c r="F56" s="14" t="str">
        <x:v>AMD Ryzen 5 5600G</x:v>
      </x:c>
    </x:row>
    <x:row r="57">
      <x:c r="A57" s="14" t="str">
        <x:v>TRAM-056</x:v>
      </x:c>
      <x:c r="B57" s="14" t="str">
        <x:v>HDD-001 </x:v>
      </x:c>
      <x:c r="C57" s="14" t="str">
        <x:f>IFERROR(VLOOKUP(TRIM(B57),'danh-muc-linh-kien'!$A$2:$D$11,2,FALSE),"KIEM TRA MA")</x:f>
        <x:v>HDD Seagate BarraCuda 1TB</x:v>
      </x:c>
      <x:c r="D57" s="14" t="str">
        <x:v>8 GB</x:v>
      </x:c>
      <x:c r="E57" s="19" t="n">
        <x:v>45837</x:v>
      </x:c>
      <x:c r="F57" s="14" t="str">
        <x:v>Intel Core i5-12400</x:v>
      </x:c>
    </x:row>
    <x:row r="58">
      <x:c r="A58" s="14" t="str">
        <x:v>TRAM-057</x:v>
      </x:c>
      <x:c r="B58" s="14" t="str">
        <x:v>HDD-002</x:v>
      </x:c>
      <x:c r="C58" s="14" t="str">
        <x:f>IFERROR(VLOOKUP(TRIM(B58),'danh-muc-linh-kien'!$A$2:$D$11,2,FALSE),"KIEM TRA MA")</x:f>
        <x:v>HDD WD Blue 2TB</x:v>
      </x:c>
      <x:c r="D58" s="14" t="str">
        <x:v>16 GB</x:v>
      </x:c>
      <x:c r="E58" s="19" t="n">
        <x:v>45840</x:v>
      </x:c>
      <x:c r="F58" s="14" t="str">
        <x:v>Intel N100</x:v>
      </x:c>
    </x:row>
    <x:row r="59">
      <x:c r="A59" s="14" t="str">
        <x:v>TRAM-058</x:v>
      </x:c>
      <x:c r="B59" s="14" t="str">
        <x:v>SSD-006</x:v>
      </x:c>
      <x:c r="C59" s="14" t="str">
        <x:f>IFERROR(VLOOKUP(TRIM(B59),'danh-muc-linh-kien'!$A$2:$D$11,2,FALSE),"KIEM TRA MA")</x:f>
        <x:v>SSD Samsung 980 PRO 1TB</x:v>
      </x:c>
      <x:c r="D59" s="14" t="str">
        <x:v>4 GB</x:v>
      </x:c>
      <x:c r="E59" s="19" t="n">
        <x:v>45843</x:v>
      </x:c>
      <x:c r="F59" s="14" t="str">
        <x:v>Intel Core i3-12100</x:v>
      </x:c>
    </x:row>
    <x:row r="60">
      <x:c r="A60" s="14" t="str">
        <x:v>TRAM-059</x:v>
      </x:c>
      <x:c r="B60" s="14" t="str">
        <x:v>SSD-007</x:v>
      </x:c>
      <x:c r="C60" s="14" t="str">
        <x:f>IFERROR(VLOOKUP(TRIM(B60),'danh-muc-linh-kien'!$A$2:$D$11,2,FALSE),"KIEM TRA MA")</x:f>
        <x:v>SSD Lexar NM620 512GB</x:v>
      </x:c>
      <x:c r="D60" s="14" t="str">
        <x:v>8 GB</x:v>
      </x:c>
      <x:c r="E60" s="19" t="n">
        <x:v>45846</x:v>
      </x:c>
      <x:c r="F60" s="14" t="str">
        <x:v>AMD Ryzen 5 5600G</x:v>
      </x:c>
    </x:row>
    <x:row r="61">
      <x:c r="A61" s="14" t="str">
        <x:v>TRAM-060</x:v>
      </x:c>
      <x:c r="B61" s="14" t="str">
        <x:v> HDD-003 </x:v>
      </x:c>
      <x:c r="C61" s="14" t="str">
        <x:f>IFERROR(VLOOKUP(TRIM(B61),'danh-muc-linh-kien'!$A$2:$D$11,2,FALSE),"KIEM TRA MA")</x:f>
        <x:v>HDD Toshiba P300 2TB</x:v>
      </x:c>
      <x:c r="D61" s="14" t="str">
        <x:v>16 GB</x:v>
      </x:c>
      <x:c r="E61" s="19" t="n">
        <x:v>45849</x:v>
      </x:c>
      <x:c r="F61" s="14" t="str">
        <x:v>Intel Core i5-12400</x:v>
      </x:c>
    </x:row>
    <x:row r="62">
      <x:c r="A62" s="14" t="str">
        <x:v>TRAM-061</x:v>
      </x:c>
      <x:c r="B62" s="14" t="str">
        <x:v>SSD-001</x:v>
      </x:c>
      <x:c r="C62" s="14" t="str">
        <x:f>IFERROR(VLOOKUP(TRIM(B62),'danh-muc-linh-kien'!$A$2:$D$11,2,FALSE),"KIEM TRA MA")</x:f>
        <x:v>SSD Samsung 870 EVO 500GB</x:v>
      </x:c>
      <x:c r="D62" s="14" t="str">
        <x:v>4 GB</x:v>
      </x:c>
      <x:c r="E62" s="19" t="n">
        <x:v>45852</x:v>
      </x:c>
      <x:c r="F62" s="14" t="str">
        <x:v>Intel N100</x:v>
      </x:c>
    </x:row>
    <x:row r="63">
      <x:c r="A63" s="14" t="str">
        <x:v>TRAM-062</x:v>
      </x:c>
      <x:c r="B63" s="14" t="str">
        <x:v>SSD-002</x:v>
      </x:c>
      <x:c r="C63" s="14" t="str">
        <x:f>IFERROR(VLOOKUP(TRIM(B63),'danh-muc-linh-kien'!$A$2:$D$11,2,FALSE),"KIEM TRA MA")</x:f>
        <x:v>SSD Kingston NV2 1TB</x:v>
      </x:c>
      <x:c r="D63" s="14" t="str">
        <x:v>8 GB</x:v>
      </x:c>
      <x:c r="E63" s="19" t="n">
        <x:v>45855</x:v>
      </x:c>
      <x:c r="F63" s="14" t="str">
        <x:v>Intel Core i3-12100</x:v>
      </x:c>
    </x:row>
    <x:row r="64">
      <x:c r="A64" s="14" t="str">
        <x:v>TRAM-063</x:v>
      </x:c>
      <x:c r="B64" s="14" t="str">
        <x:v>SSD-003 </x:v>
      </x:c>
      <x:c r="C64" s="14" t="str">
        <x:f>IFERROR(VLOOKUP(TRIM(B64),'danh-muc-linh-kien'!$A$2:$D$11,2,FALSE),"KIEM TRA MA")</x:f>
        <x:v>SSD WD Blue SN580 1TB</x:v>
      </x:c>
      <x:c r="D64" s="14" t="str">
        <x:v>16 GB</x:v>
      </x:c>
      <x:c r="E64" s="19" t="n">
        <x:v>45858</x:v>
      </x:c>
      <x:c r="F64" s="14" t="str">
        <x:v>AMD Ryzen 5 5600G</x:v>
      </x:c>
    </x:row>
    <x:row r="65">
      <x:c r="A65" s="14" t="str">
        <x:v>TRAM-064</x:v>
      </x:c>
      <x:c r="B65" s="14" t="str">
        <x:v>SSD-004</x:v>
      </x:c>
      <x:c r="C65" s="14" t="str">
        <x:f>IFERROR(VLOOKUP(TRIM(B65),'danh-muc-linh-kien'!$A$2:$D$11,2,FALSE),"KIEM TRA MA")</x:f>
        <x:v>SSD Crucial BX500 480GB</x:v>
      </x:c>
      <x:c r="D65" s="14" t="str">
        <x:v>4 GB</x:v>
      </x:c>
      <x:c r="E65" s="19" t="n">
        <x:v>45861</x:v>
      </x:c>
      <x:c r="F65" s="14" t="str">
        <x:v>Intel Core i5-12400</x:v>
      </x:c>
    </x:row>
    <x:row r="66">
      <x:c r="A66" s="14" t="str">
        <x:v>TRAM-065</x:v>
      </x:c>
      <x:c r="B66" s="14" t="str">
        <x:v>SSD-005</x:v>
      </x:c>
      <x:c r="C66" s="14" t="str">
        <x:f>IFERROR(VLOOKUP(TRIM(B66),'danh-muc-linh-kien'!$A$2:$D$11,2,FALSE),"KIEM TRA MA")</x:f>
        <x:v>SSD Kingston A400 480GB</x:v>
      </x:c>
      <x:c r="D66" s="14" t="str">
        <x:v>8 GB</x:v>
      </x:c>
      <x:c r="E66" s="19" t="n">
        <x:v>45864</x:v>
      </x:c>
      <x:c r="F66" s="14" t="str">
        <x:v>Intel N100</x:v>
      </x:c>
    </x:row>
    <x:row r="67">
      <x:c r="A67" s="14" t="str">
        <x:v>TRAM-066</x:v>
      </x:c>
      <x:c r="B67" s="14" t="str">
        <x:v>HDD-001</x:v>
      </x:c>
      <x:c r="C67" s="14" t="str">
        <x:f>IFERROR(VLOOKUP(TRIM(B67),'danh-muc-linh-kien'!$A$2:$D$11,2,FALSE),"KIEM TRA MA")</x:f>
        <x:v>HDD Seagate BarraCuda 1TB</x:v>
      </x:c>
      <x:c r="D67" s="14" t="str">
        <x:v>16 GB</x:v>
      </x:c>
      <x:c r="E67" s="19" t="n">
        <x:v>45867</x:v>
      </x:c>
      <x:c r="F67" s="14" t="str">
        <x:v>Intel Core i3-12100</x:v>
      </x:c>
    </x:row>
    <x:row r="68">
      <x:c r="A68" s="14" t="str">
        <x:v>TRAM-067</x:v>
      </x:c>
      <x:c r="B68" s="14" t="str">
        <x:v>HDD-002</x:v>
      </x:c>
      <x:c r="C68" s="14" t="str">
        <x:f>IFERROR(VLOOKUP(TRIM(B68),'danh-muc-linh-kien'!$A$2:$D$11,2,FALSE),"KIEM TRA MA")</x:f>
        <x:v>HDD WD Blue 2TB</x:v>
      </x:c>
      <x:c r="D68" s="14" t="str">
        <x:v>4 GB</x:v>
      </x:c>
      <x:c r="E68" s="19" t="n">
        <x:v>45870</x:v>
      </x:c>
      <x:c r="F68" s="14" t="str">
        <x:v>AMD Ryzen 5 5600G</x:v>
      </x:c>
    </x:row>
    <x:row r="69">
      <x:c r="A69" s="14" t="str">
        <x:v>TRAM-068</x:v>
      </x:c>
      <x:c r="B69" s="14" t="str">
        <x:v>SSD-006</x:v>
      </x:c>
      <x:c r="C69" s="14" t="str">
        <x:f>IFERROR(VLOOKUP(TRIM(B69),'danh-muc-linh-kien'!$A$2:$D$11,2,FALSE),"KIEM TRA MA")</x:f>
        <x:v>SSD Samsung 980 PRO 1TB</x:v>
      </x:c>
      <x:c r="D69" s="14" t="str">
        <x:v>8 GB</x:v>
      </x:c>
      <x:c r="E69" s="19" t="n">
        <x:v>45873</x:v>
      </x:c>
      <x:c r="F69" s="14" t="str">
        <x:v>Intel Core i5-12400</x:v>
      </x:c>
    </x:row>
    <x:row r="70">
      <x:c r="A70" s="14" t="str">
        <x:v>TRAM-069</x:v>
      </x:c>
      <x:c r="B70" s="14" t="str">
        <x:v>SSD-007</x:v>
      </x:c>
      <x:c r="C70" s="14" t="str">
        <x:f>IFERROR(VLOOKUP(TRIM(B70),'danh-muc-linh-kien'!$A$2:$D$11,2,FALSE),"KIEM TRA MA")</x:f>
        <x:v>SSD Lexar NM620 512GB</x:v>
      </x:c>
      <x:c r="D70" s="14" t="str">
        <x:v>16 GB</x:v>
      </x:c>
      <x:c r="E70" s="19" t="n">
        <x:v>45876</x:v>
      </x:c>
      <x:c r="F70" s="14" t="str">
        <x:v>Intel N100</x:v>
      </x:c>
    </x:row>
    <x:row r="71">
      <x:c r="A71" s="14" t="str">
        <x:v>TRAM-070</x:v>
      </x:c>
      <x:c r="B71" s="14" t="str">
        <x:v> HDD-003 </x:v>
      </x:c>
      <x:c r="C71" s="14" t="str">
        <x:f>IFERROR(VLOOKUP(TRIM(B71),'danh-muc-linh-kien'!$A$2:$D$11,2,FALSE),"KIEM TRA MA")</x:f>
        <x:v>HDD Toshiba P300 2TB</x:v>
      </x:c>
      <x:c r="D71" s="14" t="str">
        <x:v>4 GB</x:v>
      </x:c>
      <x:c r="E71" s="19" t="n">
        <x:v>45879</x:v>
      </x:c>
      <x:c r="F71" s="14" t="str">
        <x:v>Intel Core i3-12100</x:v>
      </x:c>
    </x:row>
    <x:row r="72">
      <x:c r="A72" s="14" t="str">
        <x:v>TRAM-071</x:v>
      </x:c>
      <x:c r="B72" s="14" t="str">
        <x:v>SSD-001</x:v>
      </x:c>
      <x:c r="C72" s="14" t="str">
        <x:f>IFERROR(VLOOKUP(TRIM(B72),'danh-muc-linh-kien'!$A$2:$D$11,2,FALSE),"KIEM TRA MA")</x:f>
        <x:v>SSD Samsung 870 EVO 500GB</x:v>
      </x:c>
      <x:c r="D72" s="14" t="str">
        <x:v>8 GB</x:v>
      </x:c>
      <x:c r="E72" s="19" t="n">
        <x:v>45882</x:v>
      </x:c>
      <x:c r="F72" s="14" t="str">
        <x:v>AMD Ryzen 5 5600G</x:v>
      </x:c>
    </x:row>
    <x:row r="73">
      <x:c r="A73" s="14" t="str">
        <x:v>TRAM-072</x:v>
      </x:c>
      <x:c r="B73" s="14" t="str">
        <x:v>SSD-002</x:v>
      </x:c>
      <x:c r="C73" s="14" t="str">
        <x:f>IFERROR(VLOOKUP(TRIM(B73),'danh-muc-linh-kien'!$A$2:$D$11,2,FALSE),"KIEM TRA MA")</x:f>
        <x:v>SSD Kingston NV2 1TB</x:v>
      </x:c>
      <x:c r="D73" s="14" t="str">
        <x:v>16 GB</x:v>
      </x:c>
      <x:c r="E73" s="19" t="n">
        <x:v>45885</x:v>
      </x:c>
      <x:c r="F73" s="14" t="str">
        <x:v>Intel Core i5-12400</x:v>
      </x:c>
    </x:row>
    <x:row r="74">
      <x:c r="A74" s="14" t="str">
        <x:v>TRAM-073</x:v>
      </x:c>
      <x:c r="B74" s="14" t="str">
        <x:v>SSD-003</x:v>
      </x:c>
      <x:c r="C74" s="14" t="str">
        <x:f>IFERROR(VLOOKUP(TRIM(B74),'danh-muc-linh-kien'!$A$2:$D$11,2,FALSE),"KIEM TRA MA")</x:f>
        <x:v>SSD WD Blue SN580 1TB</x:v>
      </x:c>
      <x:c r="D74" s="14" t="str">
        <x:v>4 GB</x:v>
      </x:c>
      <x:c r="E74" s="19" t="n">
        <x:v>45888</x:v>
      </x:c>
      <x:c r="F74" s="14" t="str">
        <x:v>Intel N100</x:v>
      </x:c>
    </x:row>
    <x:row r="75">
      <x:c r="A75" s="14" t="str">
        <x:v>TRAM-074</x:v>
      </x:c>
      <x:c r="B75" s="14" t="str">
        <x:v>SSD-004</x:v>
      </x:c>
      <x:c r="C75" s="14" t="str">
        <x:f>IFERROR(VLOOKUP(TRIM(B75),'danh-muc-linh-kien'!$A$2:$D$11,2,FALSE),"KIEM TRA MA")</x:f>
        <x:v>SSD Crucial BX500 480GB</x:v>
      </x:c>
      <x:c r="D75" s="14" t="str">
        <x:v>8 GB</x:v>
      </x:c>
      <x:c r="E75" s="19" t="n">
        <x:v>45891</x:v>
      </x:c>
      <x:c r="F75" s="14" t="str">
        <x:v>Intel Core i3-12100</x:v>
      </x:c>
    </x:row>
    <x:row r="76">
      <x:c r="A76" s="14" t="str">
        <x:v>TRAM-075</x:v>
      </x:c>
      <x:c r="B76" s="14" t="str">
        <x:v>SSD-005</x:v>
      </x:c>
      <x:c r="C76" s="14" t="str">
        <x:f>IFERROR(VLOOKUP(TRIM(B76),'danh-muc-linh-kien'!$A$2:$D$11,2,FALSE),"KIEM TRA MA")</x:f>
        <x:v>SSD Kingston A400 480GB</x:v>
      </x:c>
      <x:c r="D76" s="14" t="str">
        <x:v>16 GB</x:v>
      </x:c>
      <x:c r="E76" s="19" t="n">
        <x:v>45894</x:v>
      </x:c>
      <x:c r="F76" s="14" t="str">
        <x:v>AMD Ryzen 5 5600G</x:v>
      </x:c>
    </x:row>
    <x:row r="77">
      <x:c r="A77" s="14" t="str">
        <x:v>TRAM-076</x:v>
      </x:c>
      <x:c r="B77" s="14" t="str">
        <x:v>HDD-001</x:v>
      </x:c>
      <x:c r="C77" s="14" t="str">
        <x:f>IFERROR(VLOOKUP(TRIM(B77),'danh-muc-linh-kien'!$A$2:$D$11,2,FALSE),"KIEM TRA MA")</x:f>
        <x:v>HDD Seagate BarraCuda 1TB</x:v>
      </x:c>
      <x:c r="D77" s="14" t="str">
        <x:v>4 GB</x:v>
      </x:c>
      <x:c r="E77" s="19" t="n">
        <x:v>45897</x:v>
      </x:c>
      <x:c r="F77" s="14" t="str">
        <x:v>Intel Core i5-12400</x:v>
      </x:c>
    </x:row>
    <x:row r="78">
      <x:c r="A78" s="14" t="str">
        <x:v>TRAM-077</x:v>
      </x:c>
      <x:c r="B78" s="14" t="str">
        <x:v>HDD-002 </x:v>
      </x:c>
      <x:c r="C78" s="14" t="str">
        <x:f>IFERROR(VLOOKUP(TRIM(B78),'danh-muc-linh-kien'!$A$2:$D$11,2,FALSE),"KIEM TRA MA")</x:f>
        <x:v>HDD WD Blue 2TB</x:v>
      </x:c>
      <x:c r="D78" s="14" t="str">
        <x:v>8 GB</x:v>
      </x:c>
      <x:c r="E78" s="19" t="n">
        <x:v>45900</x:v>
      </x:c>
      <x:c r="F78" s="14" t="str">
        <x:v>Intel N100</x:v>
      </x:c>
    </x:row>
    <x:row r="79">
      <x:c r="A79" s="14" t="str">
        <x:v>TRAM-078</x:v>
      </x:c>
      <x:c r="B79" s="14" t="str">
        <x:v>SSD-006</x:v>
      </x:c>
      <x:c r="C79" s="14" t="str">
        <x:f>IFERROR(VLOOKUP(TRIM(B79),'danh-muc-linh-kien'!$A$2:$D$11,2,FALSE),"KIEM TRA MA")</x:f>
        <x:v>SSD Samsung 980 PRO 1TB</x:v>
      </x:c>
      <x:c r="D79" s="14" t="str">
        <x:v>16 GB</x:v>
      </x:c>
      <x:c r="E79" s="19" t="n">
        <x:v>45903</x:v>
      </x:c>
      <x:c r="F79" s="14" t="str">
        <x:v>Intel Core i3-12100</x:v>
      </x:c>
    </x:row>
    <x:row r="80">
      <x:c r="A80" s="14" t="str">
        <x:v>TRAM-079</x:v>
      </x:c>
      <x:c r="B80" s="14" t="str">
        <x:v>SSD-007</x:v>
      </x:c>
      <x:c r="C80" s="14" t="str">
        <x:f>IFERROR(VLOOKUP(TRIM(B80),'danh-muc-linh-kien'!$A$2:$D$11,2,FALSE),"KIEM TRA MA")</x:f>
        <x:v>SSD Lexar NM620 512GB</x:v>
      </x:c>
      <x:c r="D80" s="14" t="str">
        <x:v>4 GB</x:v>
      </x:c>
      <x:c r="E80" s="19" t="n">
        <x:v>45906</x:v>
      </x:c>
      <x:c r="F80" s="14" t="str">
        <x:v>AMD Ryzen 5 5600G</x:v>
      </x:c>
    </x:row>
    <x:row r="81">
      <x:c r="A81" s="14" t="str">
        <x:v>TRAM-080</x:v>
      </x:c>
      <x:c r="B81" s="14" t="str">
        <x:v> HDD-003 </x:v>
      </x:c>
      <x:c r="C81" s="14" t="str">
        <x:f>IFERROR(VLOOKUP(TRIM(B81),'danh-muc-linh-kien'!$A$2:$D$11,2,FALSE),"KIEM TRA MA")</x:f>
        <x:v>HDD Toshiba P300 2TB</x:v>
      </x:c>
      <x:c r="D81" s="14" t="str">
        <x:v>8 GB</x:v>
      </x:c>
      <x:c r="E81" s="19" t="n">
        <x:v>45909</x:v>
      </x:c>
      <x:c r="F81" s="14" t="str">
        <x:v>Intel Core i5-12400</x:v>
      </x:c>
    </x:row>
    <x:row r="82">
      <x:c r="A82" s="14" t="str">
        <x:v>TRAM-081</x:v>
      </x:c>
      <x:c r="B82" s="14" t="str">
        <x:v>SSD-001</x:v>
      </x:c>
      <x:c r="C82" s="14" t="str">
        <x:f>IFERROR(VLOOKUP(TRIM(B82),'danh-muc-linh-kien'!$A$2:$D$11,2,FALSE),"KIEM TRA MA")</x:f>
        <x:v>SSD Samsung 870 EVO 500GB</x:v>
      </x:c>
      <x:c r="D82" s="14" t="str">
        <x:v>16 GB</x:v>
      </x:c>
      <x:c r="E82" s="19" t="n">
        <x:v>45912</x:v>
      </x:c>
      <x:c r="F82" s="14" t="str">
        <x:v>Intel N100</x:v>
      </x:c>
    </x:row>
    <x:row r="83">
      <x:c r="A83" s="14" t="str">
        <x:v>TRAM-082</x:v>
      </x:c>
      <x:c r="B83" s="14" t="str">
        <x:v>SSD-002</x:v>
      </x:c>
      <x:c r="C83" s="14" t="str">
        <x:f>IFERROR(VLOOKUP(TRIM(B83),'danh-muc-linh-kien'!$A$2:$D$11,2,FALSE),"KIEM TRA MA")</x:f>
        <x:v>SSD Kingston NV2 1TB</x:v>
      </x:c>
      <x:c r="D83" s="14" t="str">
        <x:v>4 GB</x:v>
      </x:c>
      <x:c r="E83" s="19" t="n">
        <x:v>45915</x:v>
      </x:c>
      <x:c r="F83" s="14" t="str">
        <x:v>Intel Core i3-12100</x:v>
      </x:c>
    </x:row>
    <x:row r="84">
      <x:c r="A84" s="14" t="str">
        <x:v>TRAM-083</x:v>
      </x:c>
      <x:c r="B84" s="14" t="str">
        <x:v>SSD-003</x:v>
      </x:c>
      <x:c r="C84" s="14" t="str">
        <x:f>IFERROR(VLOOKUP(TRIM(B84),'danh-muc-linh-kien'!$A$2:$D$11,2,FALSE),"KIEM TRA MA")</x:f>
        <x:v>SSD WD Blue SN580 1TB</x:v>
      </x:c>
      <x:c r="D84" s="14" t="str">
        <x:v>8 GB</x:v>
      </x:c>
      <x:c r="E84" s="19" t="n">
        <x:v>45918</x:v>
      </x:c>
      <x:c r="F84" s="14" t="str">
        <x:v>AMD Ryzen 5 5600G</x:v>
      </x:c>
    </x:row>
    <x:row r="85">
      <x:c r="A85" s="14" t="str">
        <x:v>TRAM-084</x:v>
      </x:c>
      <x:c r="B85" s="14" t="str">
        <x:v>SSD-004 </x:v>
      </x:c>
      <x:c r="C85" s="14" t="str">
        <x:f>IFERROR(VLOOKUP(TRIM(B85),'danh-muc-linh-kien'!$A$2:$D$11,2,FALSE),"KIEM TRA MA")</x:f>
        <x:v>SSD Crucial BX500 480GB</x:v>
      </x:c>
      <x:c r="D85" s="14" t="str">
        <x:v>16 GB</x:v>
      </x:c>
      <x:c r="E85" s="19" t="n">
        <x:v>45921</x:v>
      </x:c>
      <x:c r="F85" s="14" t="str">
        <x:v>Intel Core i5-12400</x:v>
      </x:c>
    </x:row>
    <x:row r="86">
      <x:c r="A86" s="14" t="str">
        <x:v>TRAM-085</x:v>
      </x:c>
      <x:c r="B86" s="14" t="str">
        <x:v>SSD-005</x:v>
      </x:c>
      <x:c r="C86" s="14" t="str">
        <x:f>IFERROR(VLOOKUP(TRIM(B86),'danh-muc-linh-kien'!$A$2:$D$11,2,FALSE),"KIEM TRA MA")</x:f>
        <x:v>SSD Kingston A400 480GB</x:v>
      </x:c>
      <x:c r="D86" s="14" t="str">
        <x:v>4 GB</x:v>
      </x:c>
      <x:c r="E86" s="19" t="n">
        <x:v>45924</x:v>
      </x:c>
      <x:c r="F86" s="14" t="str">
        <x:v>Intel N100</x:v>
      </x:c>
    </x:row>
    <x:row r="87">
      <x:c r="A87" s="14" t="str">
        <x:v>TRAM-086</x:v>
      </x:c>
      <x:c r="B87" s="14" t="str">
        <x:v>HDD-001</x:v>
      </x:c>
      <x:c r="C87" s="14" t="str">
        <x:f>IFERROR(VLOOKUP(TRIM(B87),'danh-muc-linh-kien'!$A$2:$D$11,2,FALSE),"KIEM TRA MA")</x:f>
        <x:v>HDD Seagate BarraCuda 1TB</x:v>
      </x:c>
      <x:c r="D87" s="14" t="str">
        <x:v>8 GB</x:v>
      </x:c>
      <x:c r="E87" s="19" t="n">
        <x:v>45927</x:v>
      </x:c>
      <x:c r="F87" s="14" t="str">
        <x:v>Intel Core i3-12100</x:v>
      </x:c>
    </x:row>
    <x:row r="88">
      <x:c r="A88" s="14" t="str">
        <x:v>TRAM-087</x:v>
      </x:c>
      <x:c r="B88" s="14" t="str">
        <x:v>HDD-002</x:v>
      </x:c>
      <x:c r="C88" s="14" t="str">
        <x:f>IFERROR(VLOOKUP(TRIM(B88),'danh-muc-linh-kien'!$A$2:$D$11,2,FALSE),"KIEM TRA MA")</x:f>
        <x:v>HDD WD Blue 2TB</x:v>
      </x:c>
      <x:c r="D88" s="14" t="str">
        <x:v>16 GB</x:v>
      </x:c>
      <x:c r="E88" s="19" t="n">
        <x:v>45930</x:v>
      </x:c>
      <x:c r="F88" s="14" t="str">
        <x:v>AMD Ryzen 5 5600G</x:v>
      </x:c>
    </x:row>
    <x:row r="89">
      <x:c r="A89" s="14" t="str">
        <x:v>TRAM-088</x:v>
      </x:c>
      <x:c r="B89" s="14" t="str">
        <x:v>SSD-006</x:v>
      </x:c>
      <x:c r="C89" s="14" t="str">
        <x:f>IFERROR(VLOOKUP(TRIM(B89),'danh-muc-linh-kien'!$A$2:$D$11,2,FALSE),"KIEM TRA MA")</x:f>
        <x:v>SSD Samsung 980 PRO 1TB</x:v>
      </x:c>
      <x:c r="D89" s="14" t="str">
        <x:v>4 GB</x:v>
      </x:c>
      <x:c r="E89" s="19" t="n">
        <x:v>45933</x:v>
      </x:c>
      <x:c r="F89" s="14" t="str">
        <x:v>Intel Core i5-12400</x:v>
      </x:c>
    </x:row>
    <x:row r="90">
      <x:c r="A90" s="14" t="str">
        <x:v>TRAM-089</x:v>
      </x:c>
      <x:c r="B90" s="14" t="str">
        <x:v>SSD-007</x:v>
      </x:c>
      <x:c r="C90" s="14" t="str">
        <x:f>IFERROR(VLOOKUP(TRIM(B90),'danh-muc-linh-kien'!$A$2:$D$11,2,FALSE),"KIEM TRA MA")</x:f>
        <x:v>SSD Lexar NM620 512GB</x:v>
      </x:c>
      <x:c r="D90" s="14" t="str">
        <x:v>8 GB</x:v>
      </x:c>
      <x:c r="E90" s="19" t="n">
        <x:v>45936</x:v>
      </x:c>
      <x:c r="F90" s="14" t="str">
        <x:v>Intel N100</x:v>
      </x:c>
    </x:row>
    <x:row r="91">
      <x:c r="A91" s="14" t="str">
        <x:v>TRAM-090</x:v>
      </x:c>
      <x:c r="B91" s="14" t="str">
        <x:v> HDD-003 </x:v>
      </x:c>
      <x:c r="C91" s="14" t="str">
        <x:f>IFERROR(VLOOKUP(TRIM(B91),'danh-muc-linh-kien'!$A$2:$D$11,2,FALSE),"KIEM TRA MA")</x:f>
        <x:v>HDD Toshiba P300 2TB</x:v>
      </x:c>
      <x:c r="D91" s="14" t="str">
        <x:v>16 GB</x:v>
      </x:c>
      <x:c r="E91" s="19" t="n">
        <x:v>45939</x:v>
      </x:c>
      <x:c r="F91" s="14" t="str">
        <x:v>Intel Core i3-12100</x:v>
      </x:c>
    </x:row>
    <x:row r="92">
      <x:c r="A92" s="14" t="str">
        <x:v>TRAM-091</x:v>
      </x:c>
      <x:c r="B92" s="14" t="str">
        <x:v>SSD-001 </x:v>
      </x:c>
      <x:c r="C92" s="14" t="str">
        <x:f>IFERROR(VLOOKUP(TRIM(B92),'danh-muc-linh-kien'!$A$2:$D$11,2,FALSE),"KIEM TRA MA")</x:f>
        <x:v>SSD Samsung 870 EVO 500GB</x:v>
      </x:c>
      <x:c r="D92" s="14" t="str">
        <x:v>4 GB</x:v>
      </x:c>
      <x:c r="E92" s="19" t="n">
        <x:v>45942</x:v>
      </x:c>
      <x:c r="F92" s="14" t="str">
        <x:v>AMD Ryzen 5 5600G</x:v>
      </x:c>
    </x:row>
    <x:row r="93">
      <x:c r="A93" s="14" t="str">
        <x:v>TRAM-092</x:v>
      </x:c>
      <x:c r="B93" s="14" t="str">
        <x:v>SSD-002</x:v>
      </x:c>
      <x:c r="C93" s="14" t="str">
        <x:f>IFERROR(VLOOKUP(TRIM(B93),'danh-muc-linh-kien'!$A$2:$D$11,2,FALSE),"KIEM TRA MA")</x:f>
        <x:v>SSD Kingston NV2 1TB</x:v>
      </x:c>
      <x:c r="D93" s="14" t="str">
        <x:v>8 GB</x:v>
      </x:c>
      <x:c r="E93" s="19" t="n">
        <x:v>45945</x:v>
      </x:c>
      <x:c r="F93" s="14" t="str">
        <x:v>Intel Core i5-12400</x:v>
      </x:c>
    </x:row>
    <x:row r="94">
      <x:c r="A94" s="14" t="str">
        <x:v>TRAM-093</x:v>
      </x:c>
      <x:c r="B94" s="14" t="str">
        <x:v>SSD-003</x:v>
      </x:c>
      <x:c r="C94" s="14" t="str">
        <x:f>IFERROR(VLOOKUP(TRIM(B94),'danh-muc-linh-kien'!$A$2:$D$11,2,FALSE),"KIEM TRA MA")</x:f>
        <x:v>SSD WD Blue SN580 1TB</x:v>
      </x:c>
      <x:c r="D94" s="14" t="str">
        <x:v>16 GB</x:v>
      </x:c>
      <x:c r="E94" s="19" t="n">
        <x:v>45948</x:v>
      </x:c>
      <x:c r="F94" s="14" t="str">
        <x:v>Intel N100</x:v>
      </x:c>
    </x:row>
    <x:row r="95">
      <x:c r="A95" s="14" t="str">
        <x:v>TRAM-094</x:v>
      </x:c>
      <x:c r="B95" s="14" t="str">
        <x:v>SSD-004</x:v>
      </x:c>
      <x:c r="C95" s="14" t="str">
        <x:f>IFERROR(VLOOKUP(TRIM(B95),'danh-muc-linh-kien'!$A$2:$D$11,2,FALSE),"KIEM TRA MA")</x:f>
        <x:v>SSD Crucial BX500 480GB</x:v>
      </x:c>
      <x:c r="D95" s="14" t="str">
        <x:v>4 GB</x:v>
      </x:c>
      <x:c r="E95" s="19" t="n">
        <x:v>45951</x:v>
      </x:c>
      <x:c r="F95" s="14" t="str">
        <x:v>Intel Core i3-12100</x:v>
      </x:c>
    </x:row>
    <x:row r="96">
      <x:c r="A96" s="14" t="str">
        <x:v>TRAM-095</x:v>
      </x:c>
      <x:c r="B96" s="14" t="str">
        <x:v>SSD-005</x:v>
      </x:c>
      <x:c r="C96" s="14" t="str">
        <x:f>IFERROR(VLOOKUP(TRIM(B96),'danh-muc-linh-kien'!$A$2:$D$11,2,FALSE),"KIEM TRA MA")</x:f>
        <x:v>SSD Kingston A400 480GB</x:v>
      </x:c>
      <x:c r="D96" s="14" t="str">
        <x:v>8 GB</x:v>
      </x:c>
      <x:c r="E96" s="19" t="n">
        <x:v>45954</x:v>
      </x:c>
      <x:c r="F96" s="14" t="str">
        <x:v>AMD Ryzen 5 5600G</x:v>
      </x:c>
    </x:row>
    <x:row r="97">
      <x:c r="A97" s="14" t="str">
        <x:v>TRAM-096</x:v>
      </x:c>
      <x:c r="B97" s="14" t="str">
        <x:v>HDD-001</x:v>
      </x:c>
      <x:c r="C97" s="14" t="str">
        <x:f>IFERROR(VLOOKUP(TRIM(B97),'danh-muc-linh-kien'!$A$2:$D$11,2,FALSE),"KIEM TRA MA")</x:f>
        <x:v>HDD Seagate BarraCuda 1TB</x:v>
      </x:c>
      <x:c r="D97" s="14" t="str">
        <x:v>16 GB</x:v>
      </x:c>
      <x:c r="E97" s="19" t="n">
        <x:v>45957</x:v>
      </x:c>
      <x:c r="F97" s="14" t="str">
        <x:v>Intel Core i5-12400</x:v>
      </x:c>
    </x:row>
    <x:row r="98">
      <x:c r="A98" s="14" t="str">
        <x:v>TRAM-097</x:v>
      </x:c>
      <x:c r="B98" s="14" t="str">
        <x:v>HDD-002</x:v>
      </x:c>
      <x:c r="C98" s="14" t="str">
        <x:f>IFERROR(VLOOKUP(TRIM(B98),'danh-muc-linh-kien'!$A$2:$D$11,2,FALSE),"KIEM TRA MA")</x:f>
        <x:v>HDD WD Blue 2TB</x:v>
      </x:c>
      <x:c r="D98" s="14" t="str">
        <x:v>4 GB</x:v>
      </x:c>
      <x:c r="E98" s="19" t="n">
        <x:v>45960</x:v>
      </x:c>
      <x:c r="F98" s="14" t="str">
        <x:v>Intel N100</x:v>
      </x:c>
    </x:row>
    <x:row r="99">
      <x:c r="A99" s="14" t="str">
        <x:v>TRAM-098</x:v>
      </x:c>
      <x:c r="B99" s="14" t="str">
        <x:v>SSD-006 </x:v>
      </x:c>
      <x:c r="C99" s="14" t="str">
        <x:f>IFERROR(VLOOKUP(TRIM(B99),'danh-muc-linh-kien'!$A$2:$D$11,2,FALSE),"KIEM TRA MA")</x:f>
        <x:v>SSD Samsung 980 PRO 1TB</x:v>
      </x:c>
      <x:c r="D99" s="14" t="str">
        <x:v>8 GB</x:v>
      </x:c>
      <x:c r="E99" s="19" t="n">
        <x:v>45963</x:v>
      </x:c>
      <x:c r="F99" s="14" t="str">
        <x:v>Intel Core i3-12100</x:v>
      </x:c>
    </x:row>
    <x:row r="100">
      <x:c r="A100" s="14" t="str">
        <x:v>TRAM-099</x:v>
      </x:c>
      <x:c r="B100" s="14" t="str">
        <x:v>SSD-007</x:v>
      </x:c>
      <x:c r="C100" s="14" t="str">
        <x:f>IFERROR(VLOOKUP(TRIM(B100),'danh-muc-linh-kien'!$A$2:$D$11,2,FALSE),"KIEM TRA MA")</x:f>
        <x:v>SSD Lexar NM620 512GB</x:v>
      </x:c>
      <x:c r="D100" s="14" t="str">
        <x:v>16 GB</x:v>
      </x:c>
      <x:c r="E100" s="19" t="n">
        <x:v>45966</x:v>
      </x:c>
      <x:c r="F100" s="14" t="str">
        <x:v>AMD Ryzen 5 5600G</x:v>
      </x:c>
    </x:row>
    <x:row r="101">
      <x:c r="A101" s="14" t="str">
        <x:v>TRAM-100</x:v>
      </x:c>
      <x:c r="B101" s="14" t="str">
        <x:v> HDD-003 </x:v>
      </x:c>
      <x:c r="C101" s="14" t="str">
        <x:f>IFERROR(VLOOKUP(TRIM(B101),'danh-muc-linh-kien'!$A$2:$D$11,2,FALSE),"KIEM TRA MA")</x:f>
        <x:v>HDD Toshiba P300 2TB</x:v>
      </x:c>
      <x:c r="D101" s="14" t="str">
        <x:v>4 GB</x:v>
      </x:c>
      <x:c r="E101" s="19" t="n">
        <x:v>45969</x:v>
      </x:c>
      <x:c r="F101" s="14" t="str">
        <x:v>Intel Core i5-12400</x:v>
      </x:c>
    </x:row>
  </x:sheetData>
  <x:mergeCells>
    <x:mergeCell ref="H1:K1"/>
    <x:mergeCell ref="H2:K7"/>
  </x:mergeCells>
  <x:conditionalFormatting sqref="C2:C101">
    <x:cfRule type="expression" dxfId="0" priority="1">
      <x:formula>C2="KIEM TRA MA"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d9b286e23e4aa4"/>
  </x:tableParts>
</x:worksheet>
</file>